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Days Schedule" sheetId="1" state="visible" r:id="rId3"/>
    <sheet name="Team Availabil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<sst xmlns="http://schemas.openxmlformats.org/spreadsheetml/2006/main" count="105" uniqueCount="66">
  <si>
    <t xml:space="preserve">#</t>
  </si>
  <si>
    <t xml:space="preserve">Start Time</t>
  </si>
  <si>
    <t xml:space="preserve">End Time</t>
  </si>
  <si>
    <t xml:space="preserve">Duration (min)</t>
  </si>
  <si>
    <t xml:space="preserve">Session / Activity</t>
  </si>
  <si>
    <t xml:space="preserve">Presenter(s)</t>
  </si>
  <si>
    <t xml:space="preserve">Type</t>
  </si>
  <si>
    <t xml:space="preserve">Notes</t>
  </si>
  <si>
    <t xml:space="preserve">Blue values are editable assumptions — change durations or day start times, and all times recalculate automatically.</t>
  </si>
  <si>
    <t xml:space="preserve">Day 1 — Wednesday: AI Literacy and Strategic Thinking for Faculty</t>
  </si>
  <si>
    <t xml:space="preserve">Live Podcast with Dean Matt Johnson-Roberson</t>
  </si>
  <si>
    <t xml:space="preserve">Dean Matt Johnson-Roberson</t>
  </si>
  <si>
    <t xml:space="preserve">Session</t>
  </si>
  <si>
    <t xml:space="preserve">Introduction to AI Capabilities at Vanderbilt</t>
  </si>
  <si>
    <t xml:space="preserve">Jesse</t>
  </si>
  <si>
    <t xml:space="preserve">Overview of AI resources, tools, and support available across Vanderbilt</t>
  </si>
  <si>
    <t xml:space="preserve">Coffee Break</t>
  </si>
  <si>
    <t xml:space="preserve">Break</t>
  </si>
  <si>
    <t xml:space="preserve">How LLMs Actually Work: What Researchers Need to Know</t>
  </si>
  <si>
    <t xml:space="preserve">Transformer architectures, reasoning models, capabilities &amp; limitations</t>
  </si>
  <si>
    <t xml:space="preserve">The Psychology of Human-AI Collaboration</t>
  </si>
  <si>
    <t xml:space="preserve">Cognitive psychology, automation bias, decision biases</t>
  </si>
  <si>
    <t xml:space="preserve">Agents in Action: Beyond ChatGPT</t>
  </si>
  <si>
    <t xml:space="preserve">Agentic workflows, Claude Code vs Cowork, Codex</t>
  </si>
  <si>
    <t xml:space="preserve">Lunch</t>
  </si>
  <si>
    <t xml:space="preserve">Agent Skills: Encapsulated Expertise</t>
  </si>
  <si>
    <t xml:space="preserve">Defining AI-Augmented Academic Projects: When AI Helps and When It Doesn't</t>
  </si>
  <si>
    <t xml:space="preserve">Abbie</t>
  </si>
  <si>
    <t xml:space="preserve">Problem decomposition, scope, failure modes</t>
  </si>
  <si>
    <t xml:space="preserve">Afternoon Break</t>
  </si>
  <si>
    <t xml:space="preserve">AI in Your Everyday Academic Life</t>
  </si>
  <si>
    <t xml:space="preserve">Jesse Blocher</t>
  </si>
  <si>
    <t xml:space="preserve">Everyday use cases for AI in academics</t>
  </si>
  <si>
    <t xml:space="preserve">Claude for Marketing</t>
  </si>
  <si>
    <t xml:space="preserve">Miguel</t>
  </si>
  <si>
    <t xml:space="preserve">Break Before Networking</t>
  </si>
  <si>
    <t xml:space="preserve">Networking Event</t>
  </si>
  <si>
    <t xml:space="preserve">Event</t>
  </si>
  <si>
    <t xml:space="preserve">5:30 PM target start</t>
  </si>
  <si>
    <t xml:space="preserve">Day 2 — Thursday: Building AI into Your Research and Teaching Practice</t>
  </si>
  <si>
    <t xml:space="preserve">Inside Agentic AI: Architectures, Workflows, and What's Real</t>
  </si>
  <si>
    <t xml:space="preserve">Charreau</t>
  </si>
  <si>
    <t xml:space="preserve">Agentic architectures, workflows, subagents, evaluating vendor claims</t>
  </si>
  <si>
    <t xml:space="preserve">Quick Break</t>
  </si>
  <si>
    <t xml:space="preserve">Building AI Research Assistants with Agent Skills</t>
  </si>
  <si>
    <t xml:space="preserve">Umang</t>
  </si>
  <si>
    <t xml:space="preserve">Agent Skills, MCP, hands-on domain-specific tools</t>
  </si>
  <si>
    <t xml:space="preserve">Refreshment Break</t>
  </si>
  <si>
    <t xml:space="preserve">IP, Bias, and Privacy: What to Know Before You Use AI in Research</t>
  </si>
  <si>
    <t xml:space="preserve">Umang + Mark Williams</t>
  </si>
  <si>
    <t xml:space="preserve">IP, bias, fairness, privacy, IRB considerations; Mark available after 11 AM</t>
  </si>
  <si>
    <t xml:space="preserve">Specification-Driven Development: Building Research Tools Without Coding</t>
  </si>
  <si>
    <t xml:space="preserve">Myranda</t>
  </si>
  <si>
    <t xml:space="preserve">Spec writing, agentic coding tools, TDD with agents</t>
  </si>
  <si>
    <t xml:space="preserve">Designing AI-Enhanced Courses: Organizational and Pedagogical Considerations</t>
  </si>
  <si>
    <t xml:space="preserve">Stakeholder mapping, change management, course redesign</t>
  </si>
  <si>
    <t xml:space="preserve">Building Your Solution</t>
  </si>
  <si>
    <t xml:space="preserve">Jesse, Charreau, Myranda</t>
  </si>
  <si>
    <t xml:space="preserve">Interactive workshop: build one solution, then teams build their own</t>
  </si>
  <si>
    <t xml:space="preserve">Team Member</t>
  </si>
  <si>
    <t xml:space="preserve">Availability</t>
  </si>
  <si>
    <t xml:space="preserve">All times, all days</t>
  </si>
  <si>
    <t xml:space="preserve">All times, all days EXCEPT Thurs 10:15–11:00 AM</t>
  </si>
  <si>
    <t xml:space="preserve">Wednesday morning before 1 PM, anytime Thursday</t>
  </si>
  <si>
    <t xml:space="preserve">Mark Williams</t>
  </si>
  <si>
    <t xml:space="preserve">Thursday only, after 11 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</si>
</sst>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\ AM/P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E2EFDA"/>
        <bgColor rgb="FFD6DCE4"/>
      </patternFill>
    </fill>
    <fill>
      <patternFill patternType="solid">
        <fgColor rgb="FFFFF2CC"/>
        <bgColor rgb="FFE2EFDA"/>
      </patternFill>
    </fill>
    <fill>
      <patternFill patternType="solid">
        <fgColor rgb="FFD6DC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4"/>
    <col collapsed="false" customWidth="true" hidden="false" outlineLevel="0" max="5" min="5" style="0" width="6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9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n">
        <v>1</v>
      </c>
      <c r="B5" s="5" t="n">
        <v>0.354166666666667</v>
      </c>
      <c r="C5" s="6" t="n">
        <f aca="false">B5+D5/1440</f>
        <v>0.385416666666667</v>
      </c>
      <c r="D5" s="7" t="n">
        <v>45</v>
      </c>
      <c r="E5" s="8" t="s">
        <v>10</v>
      </c>
      <c r="F5" s="9" t="s">
        <v>11</v>
      </c>
      <c r="G5" s="10" t="s">
        <v>12</v>
      </c>
      <c r="H5" s="11"/>
    </row>
    <row r="6" customFormat="false" ht="30" hidden="false" customHeight="true" outlineLevel="0" collapsed="false">
      <c r="A6" s="4" t="n">
        <v>2</v>
      </c>
      <c r="B6" s="6" t="n">
        <f aca="false">C5</f>
        <v>0.385416666666667</v>
      </c>
      <c r="C6" s="6" t="n">
        <f aca="false">B6+D6/1440</f>
        <v>0.40625</v>
      </c>
      <c r="D6" s="7" t="n">
        <v>30</v>
      </c>
      <c r="E6" s="8" t="s">
        <v>13</v>
      </c>
      <c r="F6" s="9" t="s">
        <v>14</v>
      </c>
      <c r="G6" s="10" t="s">
        <v>12</v>
      </c>
      <c r="H6" s="11" t="s">
        <v>15</v>
      </c>
    </row>
    <row r="7" customFormat="false" ht="21.75" hidden="false" customHeight="true" outlineLevel="0" collapsed="false">
      <c r="A7" s="12" t="n">
        <v>3</v>
      </c>
      <c r="B7" s="13" t="n">
        <f aca="false">C6</f>
        <v>0.40625</v>
      </c>
      <c r="C7" s="13" t="n">
        <f aca="false">B7+D7/1440</f>
        <v>0.416666666666667</v>
      </c>
      <c r="D7" s="14" t="n">
        <v>15</v>
      </c>
      <c r="E7" s="15" t="s">
        <v>16</v>
      </c>
      <c r="F7" s="16"/>
      <c r="G7" s="17" t="s">
        <v>17</v>
      </c>
      <c r="H7" s="18"/>
    </row>
    <row r="8" customFormat="false" ht="30" hidden="false" customHeight="true" outlineLevel="0" collapsed="false">
      <c r="A8" s="4" t="n">
        <v>4</v>
      </c>
      <c r="B8" s="6" t="n">
        <f aca="false">C7</f>
        <v>0.416666666666667</v>
      </c>
      <c r="C8" s="6" t="n">
        <f aca="false">B8+D8/1440</f>
        <v>0.458333333333333</v>
      </c>
      <c r="D8" s="7" t="n">
        <v>60</v>
      </c>
      <c r="E8" s="8" t="s">
        <v>18</v>
      </c>
      <c r="F8" s="9" t="s">
        <v>14</v>
      </c>
      <c r="G8" s="10" t="s">
        <v>12</v>
      </c>
      <c r="H8" s="11" t="s">
        <v>19</v>
      </c>
    </row>
    <row r="9" customFormat="false" ht="21.75" hidden="false" customHeight="true" outlineLevel="0" collapsed="false">
      <c r="A9" s="12" t="n">
        <v>5</v>
      </c>
      <c r="B9" s="13" t="n">
        <f aca="false">C8</f>
        <v>0.458333333333333</v>
      </c>
      <c r="C9" s="13" t="n">
        <f aca="false">B9+D9/1440</f>
        <v>0.46875</v>
      </c>
      <c r="D9" s="14" t="n">
        <v>15</v>
      </c>
      <c r="E9" s="15" t="s">
        <v>16</v>
      </c>
      <c r="F9" s="16"/>
      <c r="G9" s="17" t="s">
        <v>17</v>
      </c>
      <c r="H9" s="18"/>
    </row>
    <row r="10" customFormat="false" ht="30" hidden="false" customHeight="true" outlineLevel="0" collapsed="false">
      <c r="A10" s="4" t="n">
        <v>6</v>
      </c>
      <c r="B10" s="6" t="n">
        <f aca="false">C9</f>
        <v>0.46875</v>
      </c>
      <c r="C10" s="6" t="n">
        <f aca="false">B10+D10/1440</f>
        <v>0.489583333333333</v>
      </c>
      <c r="D10" s="7" t="n">
        <v>30</v>
      </c>
      <c r="E10" s="8" t="s">
        <v>20</v>
      </c>
      <c r="F10" s="9" t="s">
        <v>14</v>
      </c>
      <c r="G10" s="10" t="s">
        <v>12</v>
      </c>
      <c r="H10" s="11" t="s">
        <v>21</v>
      </c>
    </row>
    <row r="11" customFormat="false" ht="30" hidden="false" customHeight="true" outlineLevel="0" collapsed="false">
      <c r="A11" s="4" t="n">
        <v>7</v>
      </c>
      <c r="B11" s="6" t="n">
        <f aca="false">C10</f>
        <v>0.489583333333333</v>
      </c>
      <c r="C11" s="6" t="n">
        <f aca="false">B11+D11/1440</f>
        <v>0.510416666666667</v>
      </c>
      <c r="D11" s="7" t="n">
        <v>30</v>
      </c>
      <c r="E11" s="8" t="s">
        <v>22</v>
      </c>
      <c r="F11" s="9" t="s">
        <v>14</v>
      </c>
      <c r="G11" s="10" t="s">
        <v>12</v>
      </c>
      <c r="H11" s="11" t="s">
        <v>23</v>
      </c>
    </row>
    <row r="12" customFormat="false" ht="21.75" hidden="false" customHeight="true" outlineLevel="0" collapsed="false">
      <c r="A12" s="19" t="n">
        <v>8</v>
      </c>
      <c r="B12" s="20" t="n">
        <f aca="false">C11</f>
        <v>0.510416666666667</v>
      </c>
      <c r="C12" s="20" t="n">
        <f aca="false">B12+D12/1440</f>
        <v>0.552083333333333</v>
      </c>
      <c r="D12" s="21" t="n">
        <v>60</v>
      </c>
      <c r="E12" s="22" t="s">
        <v>24</v>
      </c>
      <c r="F12" s="23"/>
      <c r="G12" s="24" t="s">
        <v>17</v>
      </c>
      <c r="H12" s="25"/>
    </row>
    <row r="13" customFormat="false" ht="30" hidden="false" customHeight="true" outlineLevel="0" collapsed="false">
      <c r="A13" s="4" t="n">
        <v>9</v>
      </c>
      <c r="B13" s="6" t="n">
        <f aca="false">C12</f>
        <v>0.552083333333333</v>
      </c>
      <c r="C13" s="6" t="n">
        <f aca="false">B13+D13/1440</f>
        <v>0.59375</v>
      </c>
      <c r="D13" s="7" t="n">
        <v>60</v>
      </c>
      <c r="E13" s="8" t="s">
        <v>25</v>
      </c>
      <c r="F13" s="9" t="s">
        <v>14</v>
      </c>
      <c r="G13" s="10" t="s">
        <v>12</v>
      </c>
      <c r="H13" s="11"/>
    </row>
    <row r="14" customFormat="false" ht="30" hidden="false" customHeight="true" outlineLevel="0" collapsed="false">
      <c r="A14" s="4" t="n">
        <v>10</v>
      </c>
      <c r="B14" s="6" t="n">
        <f aca="false">C13</f>
        <v>0.59375</v>
      </c>
      <c r="C14" s="6" t="n">
        <f aca="false">B14+D14/1440</f>
        <v>0.635416666666667</v>
      </c>
      <c r="D14" s="7" t="n">
        <v>60</v>
      </c>
      <c r="E14" s="8" t="s">
        <v>26</v>
      </c>
      <c r="F14" s="9" t="s">
        <v>27</v>
      </c>
      <c r="G14" s="10" t="s">
        <v>12</v>
      </c>
      <c r="H14" s="11" t="s">
        <v>28</v>
      </c>
    </row>
    <row r="15" customFormat="false" ht="21.75" hidden="false" customHeight="true" outlineLevel="0" collapsed="false">
      <c r="A15" s="12" t="n">
        <v>11</v>
      </c>
      <c r="B15" s="13" t="n">
        <f aca="false">C14</f>
        <v>0.635416666666667</v>
      </c>
      <c r="C15" s="13" t="n">
        <f aca="false">B15+D15/1440</f>
        <v>0.645833333333333</v>
      </c>
      <c r="D15" s="14" t="n">
        <v>15</v>
      </c>
      <c r="E15" s="15" t="s">
        <v>29</v>
      </c>
      <c r="F15" s="16"/>
      <c r="G15" s="17" t="s">
        <v>17</v>
      </c>
      <c r="H15" s="18"/>
    </row>
    <row r="16" customFormat="false" ht="30" hidden="false" customHeight="true" outlineLevel="0" collapsed="false">
      <c r="A16" s="4" t="n">
        <v>12</v>
      </c>
      <c r="B16" s="6" t="n">
        <f aca="false">C15</f>
        <v>0.645833333333333</v>
      </c>
      <c r="C16" s="6" t="n">
        <f aca="false">B16+D16/1440</f>
        <v>0.6875</v>
      </c>
      <c r="D16" s="7" t="n">
        <v>60</v>
      </c>
      <c r="E16" s="8" t="s">
        <v>30</v>
      </c>
      <c r="F16" s="9" t="s">
        <v>31</v>
      </c>
      <c r="G16" s="10" t="s">
        <v>12</v>
      </c>
      <c r="H16" s="11" t="s">
        <v>32</v>
      </c>
    </row>
    <row r="17" customFormat="false" ht="30" hidden="false" customHeight="true" outlineLevel="0" collapsed="false">
      <c r="A17" s="4" t="n">
        <v>13</v>
      </c>
      <c r="B17" s="6" t="n">
        <f aca="false">C16</f>
        <v>0.6875</v>
      </c>
      <c r="C17" s="6" t="n">
        <f aca="false">B17+D17/1440</f>
        <v>0.708333333333333</v>
      </c>
      <c r="D17" s="7" t="n">
        <v>30</v>
      </c>
      <c r="E17" s="8" t="s">
        <v>33</v>
      </c>
      <c r="F17" s="9" t="s">
        <v>34</v>
      </c>
      <c r="G17" s="10" t="s">
        <v>12</v>
      </c>
      <c r="H17" s="11"/>
    </row>
    <row r="18" customFormat="false" ht="21.75" hidden="false" customHeight="true" outlineLevel="0" collapsed="false">
      <c r="A18" s="12" t="n">
        <v>14</v>
      </c>
      <c r="B18" s="13" t="n">
        <f aca="false">C17</f>
        <v>0.708333333333333</v>
      </c>
      <c r="C18" s="13" t="n">
        <f aca="false">B18+D18/1440</f>
        <v>0.729166666666667</v>
      </c>
      <c r="D18" s="14" t="n">
        <v>30</v>
      </c>
      <c r="E18" s="15" t="s">
        <v>35</v>
      </c>
      <c r="F18" s="16"/>
      <c r="G18" s="17" t="s">
        <v>17</v>
      </c>
      <c r="H18" s="18"/>
    </row>
    <row r="19" customFormat="false" ht="30" hidden="false" customHeight="true" outlineLevel="0" collapsed="false">
      <c r="A19" s="26" t="n">
        <v>15</v>
      </c>
      <c r="B19" s="27" t="n">
        <f aca="false">C18</f>
        <v>0.729166666666667</v>
      </c>
      <c r="C19" s="27" t="n">
        <f aca="false">B19+D19/1440</f>
        <v>0.791666666666667</v>
      </c>
      <c r="D19" s="28" t="n">
        <v>90</v>
      </c>
      <c r="E19" s="29" t="s">
        <v>36</v>
      </c>
      <c r="F19" s="30"/>
      <c r="G19" s="31" t="s">
        <v>37</v>
      </c>
      <c r="H19" s="32" t="s">
        <v>38</v>
      </c>
    </row>
    <row r="21" customFormat="false" ht="27.75" hidden="false" customHeight="true" outlineLevel="0" collapsed="false">
      <c r="A21" s="3" t="s">
        <v>39</v>
      </c>
      <c r="B21" s="3"/>
      <c r="C21" s="3"/>
      <c r="D21" s="3"/>
      <c r="E21" s="3"/>
      <c r="F21" s="3"/>
      <c r="G21" s="3"/>
      <c r="H21" s="3"/>
    </row>
    <row r="22" customFormat="false" ht="30" hidden="false" customHeight="true" outlineLevel="0" collapsed="false">
      <c r="A22" s="4" t="n">
        <v>16</v>
      </c>
      <c r="B22" s="5" t="n">
        <v>0.375</v>
      </c>
      <c r="C22" s="6" t="n">
        <f aca="false">B22+D22/1440</f>
        <v>0.416666666666667</v>
      </c>
      <c r="D22" s="7" t="n">
        <v>60</v>
      </c>
      <c r="E22" s="8" t="s">
        <v>40</v>
      </c>
      <c r="F22" s="9" t="s">
        <v>41</v>
      </c>
      <c r="G22" s="10" t="s">
        <v>12</v>
      </c>
      <c r="H22" s="11" t="s">
        <v>42</v>
      </c>
    </row>
    <row r="23" customFormat="false" ht="21.75" hidden="false" customHeight="true" outlineLevel="0" collapsed="false">
      <c r="A23" s="12" t="n">
        <v>17</v>
      </c>
      <c r="B23" s="13" t="n">
        <f aca="false">C22</f>
        <v>0.416666666666667</v>
      </c>
      <c r="C23" s="13" t="n">
        <f aca="false">B23+D23/1440</f>
        <v>0.423611111111111</v>
      </c>
      <c r="D23" s="14" t="n">
        <v>10</v>
      </c>
      <c r="E23" s="15" t="s">
        <v>43</v>
      </c>
      <c r="F23" s="16"/>
      <c r="G23" s="17" t="s">
        <v>17</v>
      </c>
      <c r="H23" s="18"/>
    </row>
    <row r="24" customFormat="false" ht="30" hidden="false" customHeight="true" outlineLevel="0" collapsed="false">
      <c r="A24" s="4" t="n">
        <v>18</v>
      </c>
      <c r="B24" s="6" t="n">
        <f aca="false">C23</f>
        <v>0.423611111111111</v>
      </c>
      <c r="C24" s="6" t="n">
        <f aca="false">B24+D24/1440</f>
        <v>0.475694444444444</v>
      </c>
      <c r="D24" s="7" t="n">
        <v>75</v>
      </c>
      <c r="E24" s="8" t="s">
        <v>44</v>
      </c>
      <c r="F24" s="9" t="s">
        <v>45</v>
      </c>
      <c r="G24" s="10" t="s">
        <v>12</v>
      </c>
      <c r="H24" s="11" t="s">
        <v>46</v>
      </c>
    </row>
    <row r="25" customFormat="false" ht="21.75" hidden="false" customHeight="true" outlineLevel="0" collapsed="false">
      <c r="A25" s="12" t="n">
        <v>19</v>
      </c>
      <c r="B25" s="13" t="n">
        <f aca="false">C24</f>
        <v>0.475694444444444</v>
      </c>
      <c r="C25" s="13" t="n">
        <f aca="false">B25+D25/1440</f>
        <v>0.486111111111111</v>
      </c>
      <c r="D25" s="14" t="n">
        <v>15</v>
      </c>
      <c r="E25" s="15" t="s">
        <v>47</v>
      </c>
      <c r="F25" s="16"/>
      <c r="G25" s="17" t="s">
        <v>17</v>
      </c>
      <c r="H25" s="18"/>
    </row>
    <row r="26" customFormat="false" ht="30" hidden="false" customHeight="true" outlineLevel="0" collapsed="false">
      <c r="A26" s="4" t="n">
        <v>20</v>
      </c>
      <c r="B26" s="6" t="n">
        <f aca="false">C25</f>
        <v>0.486111111111111</v>
      </c>
      <c r="C26" s="6" t="n">
        <f aca="false">B26+D26/1440</f>
        <v>0.527777777777778</v>
      </c>
      <c r="D26" s="7" t="n">
        <v>60</v>
      </c>
      <c r="E26" s="8" t="s">
        <v>48</v>
      </c>
      <c r="F26" s="9" t="s">
        <v>49</v>
      </c>
      <c r="G26" s="10" t="s">
        <v>12</v>
      </c>
      <c r="H26" s="11" t="s">
        <v>50</v>
      </c>
    </row>
    <row r="27" customFormat="false" ht="21.75" hidden="false" customHeight="true" outlineLevel="0" collapsed="false">
      <c r="A27" s="19" t="n">
        <v>21</v>
      </c>
      <c r="B27" s="20" t="n">
        <f aca="false">C26</f>
        <v>0.527777777777778</v>
      </c>
      <c r="C27" s="20" t="n">
        <f aca="false">B27+D27/1440</f>
        <v>0.569444444444444</v>
      </c>
      <c r="D27" s="21" t="n">
        <v>60</v>
      </c>
      <c r="E27" s="22" t="s">
        <v>24</v>
      </c>
      <c r="F27" s="23"/>
      <c r="G27" s="24" t="s">
        <v>17</v>
      </c>
      <c r="H27" s="25"/>
    </row>
    <row r="28" customFormat="false" ht="30" hidden="false" customHeight="true" outlineLevel="0" collapsed="false">
      <c r="A28" s="4" t="n">
        <v>22</v>
      </c>
      <c r="B28" s="6" t="n">
        <f aca="false">C27</f>
        <v>0.569444444444444</v>
      </c>
      <c r="C28" s="6" t="n">
        <f aca="false">B28+D28/1440</f>
        <v>0.631944444444444</v>
      </c>
      <c r="D28" s="7" t="n">
        <v>90</v>
      </c>
      <c r="E28" s="8" t="s">
        <v>51</v>
      </c>
      <c r="F28" s="9" t="s">
        <v>52</v>
      </c>
      <c r="G28" s="10" t="s">
        <v>12</v>
      </c>
      <c r="H28" s="11" t="s">
        <v>53</v>
      </c>
    </row>
    <row r="29" customFormat="false" ht="21.75" hidden="false" customHeight="true" outlineLevel="0" collapsed="false">
      <c r="A29" s="12" t="n">
        <v>23</v>
      </c>
      <c r="B29" s="13" t="n">
        <f aca="false">C28</f>
        <v>0.631944444444444</v>
      </c>
      <c r="C29" s="13" t="n">
        <f aca="false">B29+D29/1440</f>
        <v>0.642361111111111</v>
      </c>
      <c r="D29" s="14" t="n">
        <v>15</v>
      </c>
      <c r="E29" s="15" t="s">
        <v>29</v>
      </c>
      <c r="F29" s="16"/>
      <c r="G29" s="17" t="s">
        <v>17</v>
      </c>
      <c r="H29" s="18"/>
    </row>
    <row r="30" customFormat="false" ht="30" hidden="false" customHeight="true" outlineLevel="0" collapsed="false">
      <c r="A30" s="4" t="n">
        <v>24</v>
      </c>
      <c r="B30" s="6" t="n">
        <f aca="false">C29</f>
        <v>0.642361111111111</v>
      </c>
      <c r="C30" s="6" t="n">
        <f aca="false">B30+D30/1440</f>
        <v>0.684027777777778</v>
      </c>
      <c r="D30" s="7" t="n">
        <v>60</v>
      </c>
      <c r="E30" s="8" t="s">
        <v>54</v>
      </c>
      <c r="F30" s="9" t="s">
        <v>14</v>
      </c>
      <c r="G30" s="10" t="s">
        <v>12</v>
      </c>
      <c r="H30" s="11" t="s">
        <v>55</v>
      </c>
    </row>
    <row r="31" customFormat="false" ht="21.75" hidden="false" customHeight="true" outlineLevel="0" collapsed="false">
      <c r="A31" s="12" t="n">
        <v>25</v>
      </c>
      <c r="B31" s="13" t="n">
        <f aca="false">C30</f>
        <v>0.684027777777778</v>
      </c>
      <c r="C31" s="13" t="n">
        <f aca="false">B31+D31/1440</f>
        <v>0.690972222222222</v>
      </c>
      <c r="D31" s="14" t="n">
        <v>10</v>
      </c>
      <c r="E31" s="15" t="s">
        <v>43</v>
      </c>
      <c r="F31" s="16"/>
      <c r="G31" s="17" t="s">
        <v>17</v>
      </c>
      <c r="H31" s="18"/>
    </row>
    <row r="32" customFormat="false" ht="30" hidden="false" customHeight="true" outlineLevel="0" collapsed="false">
      <c r="A32" s="4" t="n">
        <v>26</v>
      </c>
      <c r="B32" s="6" t="n">
        <f aca="false">C31</f>
        <v>0.690972222222222</v>
      </c>
      <c r="C32" s="6" t="n">
        <f aca="false">B32+D32/1440</f>
        <v>0.753472222222222</v>
      </c>
      <c r="D32" s="7" t="n">
        <v>90</v>
      </c>
      <c r="E32" s="8" t="s">
        <v>56</v>
      </c>
      <c r="F32" s="9" t="s">
        <v>57</v>
      </c>
      <c r="G32" s="10" t="s">
        <v>12</v>
      </c>
      <c r="H32" s="11" t="s">
        <v>58</v>
      </c>
    </row>
  </sheetData>
  <mergeCells count="3">
    <mergeCell ref="A2:H2"/>
    <mergeCell ref="A4:H4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33" t="s">
        <v>59</v>
      </c>
      <c r="B1" s="33" t="s">
        <v>60</v>
      </c>
    </row>
    <row r="2" customFormat="false" ht="15" hidden="false" customHeight="false" outlineLevel="0" collapsed="false">
      <c r="A2" s="34" t="s">
        <v>14</v>
      </c>
      <c r="B2" s="34" t="s">
        <v>61</v>
      </c>
    </row>
    <row r="3" customFormat="false" ht="15" hidden="false" customHeight="false" outlineLevel="0" collapsed="false">
      <c r="A3" s="34" t="s">
        <v>52</v>
      </c>
      <c r="B3" s="34" t="s">
        <v>62</v>
      </c>
    </row>
    <row r="4" customFormat="false" ht="15" hidden="false" customHeight="false" outlineLevel="0" collapsed="false">
      <c r="A4" s="34" t="s">
        <v>45</v>
      </c>
      <c r="B4" s="34" t="s">
        <v>61</v>
      </c>
    </row>
    <row r="5" customFormat="false" ht="15" hidden="false" customHeight="false" outlineLevel="0" collapsed="false">
      <c r="A5" s="34" t="s">
        <v>27</v>
      </c>
      <c r="B5" s="34" t="s">
        <v>61</v>
      </c>
    </row>
    <row r="6" customFormat="false" ht="15" hidden="false" customHeight="false" outlineLevel="0" collapsed="false">
      <c r="A6" s="34" t="s">
        <v>41</v>
      </c>
      <c r="B6" s="34" t="s">
        <v>63</v>
      </c>
    </row>
    <row r="7" customFormat="false" ht="15" hidden="false" customHeight="false" outlineLevel="0" collapsed="false">
      <c r="A7" s="34" t="s">
        <v>64</v>
      </c>
      <c r="B7" s="3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2026-03-03T18:52:42Z</dcterms:created>
  <dc:creator>openpyxl</dc:creator>
  <dc:description/>
  <dc:language>en-US</dc:language>
  <cp:lastModifiedBy/>
  <dcterms:modified xsi:type="dcterms:W3CDTF">2026-03-03T18:52:42Z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